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/Desktop/"/>
    </mc:Choice>
  </mc:AlternateContent>
  <xr:revisionPtr revIDLastSave="0" documentId="13_ncr:1_{1A90BCFA-B778-4842-A4F5-B871FAE95BE8}" xr6:coauthVersionLast="45" xr6:coauthVersionMax="45" xr10:uidLastSave="{00000000-0000-0000-0000-000000000000}"/>
  <bookViews>
    <workbookView xWindow="360" yWindow="460" windowWidth="28240" windowHeight="15960" xr2:uid="{3425CAD5-7110-9B4F-A80F-B050ADBAC6C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1" l="1"/>
  <c r="M5" i="1"/>
  <c r="M4" i="1"/>
  <c r="M3" i="1"/>
  <c r="M2" i="1"/>
  <c r="C6" i="1"/>
  <c r="D6" i="1"/>
  <c r="E6" i="1"/>
  <c r="F6" i="1"/>
  <c r="G6" i="1"/>
  <c r="H6" i="1"/>
  <c r="I6" i="1"/>
  <c r="J6" i="1"/>
  <c r="K6" i="1"/>
  <c r="L6" i="1"/>
  <c r="B6" i="1"/>
</calcChain>
</file>

<file path=xl/sharedStrings.xml><?xml version="1.0" encoding="utf-8"?>
<sst xmlns="http://schemas.openxmlformats.org/spreadsheetml/2006/main" count="16" uniqueCount="16">
  <si>
    <t>Itraconazole</t>
  </si>
  <si>
    <t>Unlikely</t>
  </si>
  <si>
    <t>Mild</t>
  </si>
  <si>
    <t>Moderate</t>
  </si>
  <si>
    <t>Severe</t>
  </si>
  <si>
    <t>Voriconazole</t>
  </si>
  <si>
    <t>Fluconazole</t>
  </si>
  <si>
    <t>Amphotericin B</t>
  </si>
  <si>
    <t>Ambisome</t>
  </si>
  <si>
    <t>Caspofungin</t>
  </si>
  <si>
    <t>Terbinafine</t>
  </si>
  <si>
    <t>Isavuconazole</t>
  </si>
  <si>
    <t>Andidulafungin</t>
  </si>
  <si>
    <t>Posaconazole</t>
  </si>
  <si>
    <t>Micafungin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</si>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</sst>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1691-BB9F-D84A-8DF9-7A0738DAF9BF}">
  <dimension ref="A1:M6"/>
  <sheetViews>
    <sheetView tabSelected="1" workbookViewId="0">
      <selection activeCell="B6" sqref="B6"/>
    </sheetView>
  </sheetViews>
  <sheetFormatPr baseColWidth="10" defaultRowHeight="16" x14ac:dyDescent="0.2"/>
  <cols>
    <col min="2" max="2" width="11.1640625" bestFit="1" customWidth="1"/>
    <col min="5" max="5" width="13.83203125" bestFit="1" customWidth="1"/>
    <col min="7" max="7" width="11.1640625" bestFit="1" customWidth="1"/>
    <col min="9" max="9" width="12.5" bestFit="1" customWidth="1"/>
    <col min="10" max="10" width="13.5" bestFit="1" customWidth="1"/>
    <col min="11" max="11" width="12.1640625" bestFit="1" customWidth="1"/>
  </cols>
  <sheetData>
    <row r="1" spans="1:13" x14ac:dyDescent="0.2">
      <c r="B1" s="5" t="s">
        <v>0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</row>
    <row r="2" spans="1:13" x14ac:dyDescent="0.2">
      <c r="A2" s="1" t="s">
        <v>4</v>
      </c>
      <c r="B2">
        <v>143</v>
      </c>
      <c r="C2">
        <v>154</v>
      </c>
      <c r="D2">
        <v>45</v>
      </c>
      <c r="E2">
        <v>19</v>
      </c>
      <c r="F2">
        <v>18</v>
      </c>
      <c r="G2">
        <v>10</v>
      </c>
      <c r="H2">
        <v>1</v>
      </c>
      <c r="I2">
        <v>52</v>
      </c>
      <c r="J2">
        <v>0</v>
      </c>
      <c r="K2">
        <v>99</v>
      </c>
      <c r="L2">
        <v>0</v>
      </c>
      <c r="M2">
        <f>SUM(B2:L2)</f>
        <v>541</v>
      </c>
    </row>
    <row r="3" spans="1:13" x14ac:dyDescent="0.2">
      <c r="A3" s="2" t="s">
        <v>3</v>
      </c>
      <c r="B3">
        <v>162</v>
      </c>
      <c r="C3">
        <v>181</v>
      </c>
      <c r="D3">
        <v>181</v>
      </c>
      <c r="E3">
        <v>127</v>
      </c>
      <c r="F3">
        <v>127</v>
      </c>
      <c r="G3">
        <v>40</v>
      </c>
      <c r="H3">
        <v>13</v>
      </c>
      <c r="I3">
        <v>92</v>
      </c>
      <c r="J3">
        <v>3</v>
      </c>
      <c r="K3">
        <v>196</v>
      </c>
      <c r="L3">
        <v>7</v>
      </c>
      <c r="M3">
        <f>SUM(B3:L3)</f>
        <v>1129</v>
      </c>
    </row>
    <row r="4" spans="1:13" x14ac:dyDescent="0.2">
      <c r="A4" s="3" t="s">
        <v>2</v>
      </c>
      <c r="B4">
        <v>130</v>
      </c>
      <c r="C4">
        <v>159</v>
      </c>
      <c r="D4">
        <v>197</v>
      </c>
      <c r="E4">
        <v>99</v>
      </c>
      <c r="F4">
        <v>98</v>
      </c>
      <c r="G4">
        <v>35</v>
      </c>
      <c r="H4">
        <v>43</v>
      </c>
      <c r="I4">
        <v>43</v>
      </c>
      <c r="J4">
        <v>22</v>
      </c>
      <c r="K4">
        <v>159</v>
      </c>
      <c r="L4">
        <v>30</v>
      </c>
      <c r="M4">
        <f>SUM(B4:L4)</f>
        <v>1015</v>
      </c>
    </row>
    <row r="5" spans="1:13" x14ac:dyDescent="0.2">
      <c r="A5" s="4" t="s">
        <v>1</v>
      </c>
      <c r="B5">
        <v>1101</v>
      </c>
      <c r="C5">
        <v>1042</v>
      </c>
      <c r="D5">
        <v>1113</v>
      </c>
      <c r="E5">
        <v>1291</v>
      </c>
      <c r="F5">
        <v>1293</v>
      </c>
      <c r="G5">
        <v>1451</v>
      </c>
      <c r="H5">
        <v>1479</v>
      </c>
      <c r="I5">
        <v>1349</v>
      </c>
      <c r="J5">
        <v>1511</v>
      </c>
      <c r="K5">
        <v>1082</v>
      </c>
      <c r="L5">
        <v>1499</v>
      </c>
      <c r="M5">
        <f>SUM(B5:L5)</f>
        <v>14211</v>
      </c>
    </row>
    <row r="6" spans="1:13" x14ac:dyDescent="0.2">
      <c r="B6">
        <f>SUM(B2:B5)</f>
        <v>1536</v>
      </c>
      <c r="C6">
        <f t="shared" ref="C6:L6" si="0">SUM(C2:C5)</f>
        <v>1536</v>
      </c>
      <c r="D6">
        <f t="shared" si="0"/>
        <v>1536</v>
      </c>
      <c r="E6">
        <f t="shared" si="0"/>
        <v>1536</v>
      </c>
      <c r="F6">
        <f t="shared" si="0"/>
        <v>1536</v>
      </c>
      <c r="G6">
        <f t="shared" si="0"/>
        <v>1536</v>
      </c>
      <c r="H6">
        <f t="shared" si="0"/>
        <v>1536</v>
      </c>
      <c r="I6">
        <f t="shared" si="0"/>
        <v>1536</v>
      </c>
      <c r="J6">
        <f t="shared" si="0"/>
        <v>1536</v>
      </c>
      <c r="K6">
        <f t="shared" si="0"/>
        <v>1536</v>
      </c>
      <c r="L6">
        <f t="shared" si="0"/>
        <v>1536</v>
      </c>
      <c r="M6">
        <f>SUM(B6:L6)</f>
        <v>16896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2020-09-10T21:42:50Z</dcterms:created>
  <dcterms:modified xsi:type="dcterms:W3CDTF">2020-09-13T07:51:30Z</dcterms:modified>
</cp:coreProperties>
</file>